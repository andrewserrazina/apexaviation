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Guide" sheetId="1" r:id="rId5"/>
    <sheet state="visible" name="W&amp;B Calculator"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2">
      <text>
        <t xml:space="preserve">Va scales with the square root of the weight ratio: Va(actual) = Va(max gross) × SQRT(Actual Weight / Max Gross Weight).</t>
      </text>
    </comment>
    <comment authorId="0" ref="C10">
      <text>
        <t xml:space="preserve">Aircraft-specific input. Enter your aircraft's current Basic Empty Weight from its actual weight and balance record — do not use a generic or another aircraft's figures.</t>
      </text>
    </comment>
    <comment authorId="0" ref="I15">
      <text>
        <t xml:space="preserve">Density Altitude = 120 × (OAT °C − ISA Temp) + Pressure Altitude. The 120 ft/°C factor is a standard approximation.</t>
      </text>
    </comment>
    <comment authorId="0" ref="D9">
      <text>
        <t xml:space="preserve">Arms are specific to each aircraft's station locations. Replace every value in this column with your own aircraft's arms from its POH loading diagram to adapt this template.</t>
      </text>
    </comment>
    <comment authorId="0" ref="E10">
      <text>
        <t xml:space="preserve">Aircraft-specific input. Enter your aircraft's current Basic Empty Weight Moment from its actual weight and balance record. Weight and Moment together fix this row's arm automatically.</t>
      </text>
    </comment>
    <comment authorId="0" ref="I12">
      <text>
        <t xml:space="preserve">Pressure Altitude = 1,000 × (Standard Pressure − Altimeter Setting) + Field Elevation</t>
      </text>
    </comment>
  </commentList>
</comments>
</file>

<file path=xl/sharedStrings.xml><?xml version="1.0" encoding="utf-8"?>
<sst xmlns="http://schemas.openxmlformats.org/spreadsheetml/2006/main" count="99" uniqueCount="95">
  <si>
    <t>APEX AVIATION</t>
  </si>
  <si>
    <t>TRAIN BEYOND THE CHECKRIDE</t>
  </si>
  <si>
    <t>PA-28-181 Weight &amp; Balance Calculator — User Guide</t>
  </si>
  <si>
    <t>Apex Advantage Resource Library</t>
  </si>
  <si>
    <t>PURPOSE</t>
  </si>
  <si>
    <t>This workbook calculates weight, balance (center of gravity), pressure altitude, density altitude, and maneuvering speed (Va) for a Piper PA-28-181 using the same six-step method taught in Apex Advantage Module 13 — Weight &amp; Balance. It is a training and planning aid, not a substitute for your aircraft's current, actual POH/AFM weight and balance data.</t>
  </si>
  <si>
    <t>HOW TO USE THIS WORKBOOK</t>
  </si>
  <si>
    <t>PA-28-181  ·  Weight, Balance &amp; Performance Calculator</t>
  </si>
  <si>
    <t>1.  Open the "W&amp;B Calculator" tab.</t>
  </si>
  <si>
    <t>2.  Fill in only the gold-highlighted cells — these are the inputs. Every white cell calculates automatically.</t>
  </si>
  <si>
    <t>3.  Enter your aircraft's Basic Empty Weight and Moment from its current weight and balance record.</t>
  </si>
  <si>
    <t>Fill in gold cells only. See the User Guide tab before first use.</t>
  </si>
  <si>
    <t>4.  Enter the weight of each occupant, and the arm for each occupant/item from your POH loading diagram.</t>
  </si>
  <si>
    <t>5.  Enter your planned usable fuel, taxi fuel, and expected fuel burn for the flight.</t>
  </si>
  <si>
    <t>Adapting to a different aircraft? Every gold cell below — including all Arm values and the Basic Empty Weight/Moment — is editable. See “Adapting This Template” in the User Guide tab.</t>
  </si>
  <si>
    <t>6.  Enter your Maximum Gross Weight and your POH's forward/aft CG limits for takeoff and landing weight in the CG Envelope Check section.</t>
  </si>
  <si>
    <t>7.  Enter today's altimeter setting, field elevation, and outside air temperature for the Density Altitude section.</t>
  </si>
  <si>
    <t>8.  Enter your aircraft's published Va at maximum gross weight.</t>
  </si>
  <si>
    <t>9.  Review every calculated result, and always cross-check against your aircraft's actual POH before flight.</t>
  </si>
  <si>
    <t>COLOR LEGEND</t>
  </si>
  <si>
    <t>WEIGHT &amp; BALANCE</t>
  </si>
  <si>
    <t>Gold cell — type your own value here</t>
  </si>
  <si>
    <t>PRESSURE &amp; DENSITY ALTITUDE</t>
  </si>
  <si>
    <t>White cell — calculates automatically, do not overwrite</t>
  </si>
  <si>
    <t>Item</t>
  </si>
  <si>
    <t>Blue-gray cell — a subtotal (Zero Fuel / Ramp / Takeoff / Landing Weight)</t>
  </si>
  <si>
    <t>UNDERSTANDING EACH SECTION</t>
  </si>
  <si>
    <t>Weight (lb)</t>
  </si>
  <si>
    <t>Arm (in)</t>
  </si>
  <si>
    <t>Weight &amp; Balance Table</t>
  </si>
  <si>
    <t>Moment (lb-in)</t>
  </si>
  <si>
    <t>Standard Sea Level Pressure (in Hg)</t>
  </si>
  <si>
    <t>Lists every item — aircraft, people, fuel, baggage — with its weight, arm (distance from datum, in inches), and moment (weight × arm). Subtotals build progressively from Zero Fuel Weight through Landing Weight, exactly as taught in Module 13's six-step method.</t>
  </si>
  <si>
    <t>CG Envelope Check</t>
  </si>
  <si>
    <t>Compares your calculated CG at both takeoff and landing weight against the forward and aft limits from your POH. The Status column reads PASS only when your CG falls strictly within both limits — always confirm visually on your aircraft's actual CG envelope graph as well.</t>
  </si>
  <si>
    <t>Pressure &amp; Density Altitude</t>
  </si>
  <si>
    <t>Calculates pressure altitude from your altimeter setting and field elevation, then density altitude from outside air temperature. Density altitude directly affects the takeoff, climb, and landing performance you should expect.</t>
  </si>
  <si>
    <t>Basic Empty Weight</t>
  </si>
  <si>
    <t>Maneuvering Speed (Va)</t>
  </si>
  <si>
    <t>Scales your aircraft's published Va at maximum gross weight down to your actual takeoff and landing weights, since Va decreases as weight decreases.</t>
  </si>
  <si>
    <t>ADAPTING THIS TEMPLATE TO YOUR OWN AIRCRAFT</t>
  </si>
  <si>
    <t>This template isn't locked to the PA-28-181. Every value that's specific to a particular airframe lives in a gold input cell, so you can turn this into a W&amp;B calculator for any aircraft by replacing those values with the numbers from that aircraft's own POH/AFM. Nothing else needs to change — every formula below recalculates automatically.</t>
  </si>
  <si>
    <t>Arm (in) — column D, every row</t>
  </si>
  <si>
    <t>Replace every arm with that station's arm for your aircraft, taken from its POH loading diagram. Arms differ by model, and even by individual aircraft.</t>
  </si>
  <si>
    <t>Basic Empty Weight &amp; Moment</t>
  </si>
  <si>
    <t>Replace with your specific aircraft's current basic empty weight and moment, from its actual weight and balance record — never a generic or another tail number's figures.</t>
  </si>
  <si>
    <t>Maximum Gross Weight</t>
  </si>
  <si>
    <t>Replace with your aircraft's published maximum gross weight.</t>
  </si>
  <si>
    <t>CG Envelope Forward/Aft Limits</t>
  </si>
  <si>
    <t>Replace the example limits with your aircraft's actual forward and aft CG limits at takeoff and landing weight, from its POH CG envelope graph.</t>
  </si>
  <si>
    <t>Va at Maximum Gross Weight</t>
  </si>
  <si>
    <t>Replace with your aircraft's published maneuvering speed at max gross weight — this is what the Va section scales down from.</t>
  </si>
  <si>
    <t>Tip: once you've swapped in a new aircraft's arms and moments, rename the “W&amp;B Calculator” tab and the title on Row 5 to match — everything else on the sheet is already generic.</t>
  </si>
  <si>
    <t>FORMULA REFERENCE</t>
  </si>
  <si>
    <t>•  Moment = Weight × Arm</t>
  </si>
  <si>
    <t>•  CG (in) = Total Moment ÷ Total Weight</t>
  </si>
  <si>
    <t>Altimeter Setting (in Hg)</t>
  </si>
  <si>
    <t>•  Pressure Altitude (ft) = 1,000 × (29.92 − Altimeter Setting) + Field Elevation</t>
  </si>
  <si>
    <t>•  Density Altitude (ft) = 120 × (OAT °C − 15) + Pressure Altitude</t>
  </si>
  <si>
    <t>Front Pilots</t>
  </si>
  <si>
    <t>•  Va at Weight = Va at Max Gross Weight × √(Actual Weight ÷ Max Gross Weight)</t>
  </si>
  <si>
    <t>IMPORTANT SAFETY NOTE</t>
  </si>
  <si>
    <t>This worksheet is a training and planning aid built for Apex Advantage students. It is not a replacement for your specific aircraft's current, actual weight and balance record, CG envelope graph, or Pilot's Operating Handbook / Airplane Flight Manual (POH/AFM). Basic empty weight, moments, arms, CG limits, and Va vary by individual aircraft — always verify every figure against your own aircraft's documents before every flight. Legal is the floor, not the target — apply the Apex Loading Framework (Module 13) to every loading decision.</t>
  </si>
  <si>
    <t>Apex Advantage  ·  Train Beyond the Checkride</t>
  </si>
  <si>
    <t>Field Elevation (ft)</t>
  </si>
  <si>
    <t>Rear Passengers</t>
  </si>
  <si>
    <t>Pressure Altitude (ft)</t>
  </si>
  <si>
    <t>Baggage (120 lb max)</t>
  </si>
  <si>
    <t>ISA Standard Temp at Sea Level (°C)</t>
  </si>
  <si>
    <t>ZERO FUEL WEIGHT</t>
  </si>
  <si>
    <t>Outside Air Temperature (°C)</t>
  </si>
  <si>
    <t>Usable Fuel</t>
  </si>
  <si>
    <t>Density Altitude (ft)</t>
  </si>
  <si>
    <t>RAMP WEIGHT</t>
  </si>
  <si>
    <t>Taxi Fuel</t>
  </si>
  <si>
    <t>MANEUVERING SPEED (Va)</t>
  </si>
  <si>
    <t>TAKEOFF WEIGHT</t>
  </si>
  <si>
    <t>Va at Maximum Gross Weight (KIAS)</t>
  </si>
  <si>
    <t>Fuel Burned (enroute)</t>
  </si>
  <si>
    <t>Takeoff Weight (lb)</t>
  </si>
  <si>
    <t>LANDING WEIGHT</t>
  </si>
  <si>
    <t>Landing Weight (lb)</t>
  </si>
  <si>
    <t>Maximum Gross Weight (lb)</t>
  </si>
  <si>
    <t>Va at Takeoff Weight (KIAS)</t>
  </si>
  <si>
    <t>Va at Landing Weight (KIAS)</t>
  </si>
  <si>
    <t>CG ENVELOPE CHECK  ·  Enter limits from your POH</t>
  </si>
  <si>
    <t>Condition</t>
  </si>
  <si>
    <t>Fwd Limit (in)</t>
  </si>
  <si>
    <t>Aft Limit (in)</t>
  </si>
  <si>
    <t>Your CG (in)</t>
  </si>
  <si>
    <t>Status</t>
  </si>
  <si>
    <t>Takeoff</t>
  </si>
  <si>
    <t>Landing</t>
  </si>
  <si>
    <t>Forward/aft limits above are examples only — always replace with your specific aircraft's published CG envelope limits at each weight.</t>
  </si>
  <si>
    <t>This worksheet is a training aid. Always verify against your aircraft's current, actual POH/AFM before flight.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</si>
</sst>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2">
    <font>
      <sz val="11.0"/>
      <color theme="1"/>
      <name val="Calibri"/>
      <scheme val="minor"/>
    </font>
    <font>
      <b/>
      <sz val="22.0"/>
      <color rgb="FFFFFFFF"/>
      <name val="Montserrat"/>
    </font>
    <font/>
    <font>
      <b/>
      <sz val="12.0"/>
      <color rgb="FFF2C230"/>
      <name val="Calibri"/>
    </font>
    <font>
      <b/>
      <sz val="16.0"/>
      <color rgb="FF0B1F3A"/>
      <name val="Montserrat"/>
    </font>
    <font>
      <i/>
      <sz val="11.0"/>
      <color rgb="FF5B6773"/>
      <name val="Calibri"/>
    </font>
    <font>
      <b/>
      <sz val="13.0"/>
      <color rgb="FFF2C230"/>
      <name val="Montserrat"/>
    </font>
    <font>
      <b/>
      <sz val="11.0"/>
      <color rgb="FFF2C230"/>
      <name val="Calibri"/>
    </font>
    <font>
      <sz val="11.0"/>
      <color rgb="FF16212E"/>
      <name val="Calibri"/>
    </font>
    <font>
      <b/>
      <sz val="15.0"/>
      <color rgb="FF0B1F3A"/>
      <name val="Montserrat"/>
    </font>
    <font>
      <i/>
      <sz val="10.0"/>
      <color rgb="FF5B6773"/>
      <name val="Calibri"/>
    </font>
    <font>
      <i/>
      <sz val="9.0"/>
      <color rgb="FFC79A1E"/>
      <name val="Calibri"/>
    </font>
    <font>
      <sz val="11.0"/>
      <color theme="1"/>
      <name val="Calibri"/>
    </font>
    <font>
      <b/>
      <sz val="10.0"/>
      <color rgb="FFFFFFFF"/>
      <name val="Calibri"/>
    </font>
    <font>
      <b/>
      <sz val="11.0"/>
      <color rgb="FF0B1F3A"/>
      <name val="Calibri"/>
    </font>
    <font>
      <sz val="10.0"/>
      <color rgb="FF16212E"/>
      <name val="Calibri"/>
    </font>
    <font>
      <b/>
      <sz val="10.0"/>
      <color rgb="FF16212E"/>
      <name val="Calibri"/>
    </font>
    <font>
      <b/>
      <sz val="11.0"/>
      <color rgb="FFC79A1E"/>
      <name val="Calibri"/>
    </font>
    <font>
      <sz val="11.0"/>
      <color rgb="FF5B6773"/>
      <name val="Calibri"/>
    </font>
    <font>
      <i/>
      <sz val="9.0"/>
      <color rgb="FF5B6773"/>
      <name val="Calibri"/>
    </font>
    <font>
      <b/>
      <sz val="10.0"/>
      <color rgb="FF0B1F3A"/>
      <name val="Calibri"/>
    </font>
    <font>
      <b/>
      <sz val="9.0"/>
      <color rgb="FF0B1F3A"/>
      <name val="Calibri"/>
    </font>
  </fonts>
  <fills count="7">
    <fill>
      <patternFill patternType="none"/>
    </fill>
    <fill>
      <patternFill patternType="lightGray"/>
    </fill>
    <fill>
      <patternFill patternType="solid">
        <fgColor rgb="FF0B1F3A"/>
        <bgColor rgb="FF0B1F3A"/>
      </patternFill>
    </fill>
    <fill>
      <patternFill patternType="solid">
        <fgColor rgb="FFF4F6F8"/>
        <bgColor rgb="FFF4F6F8"/>
      </patternFill>
    </fill>
    <fill>
      <patternFill patternType="solid">
        <fgColor rgb="FFFDF1CC"/>
        <bgColor rgb="FFFDF1CC"/>
      </patternFill>
    </fill>
    <fill>
      <patternFill patternType="solid">
        <fgColor rgb="FFFFFFFF"/>
        <bgColor rgb="FFFFFFFF"/>
      </patternFill>
    </fill>
    <fill>
      <patternFill patternType="solid">
        <fgColor rgb="FFEAF0FB"/>
        <bgColor rgb="FFEAF0FB"/>
      </patternFill>
    </fill>
  </fills>
  <borders count="9">
    <border/>
    <border>
      <left/>
      <top/>
      <bottom/>
    </border>
    <border>
      <top/>
      <bottom/>
    </border>
    <border>
      <right/>
      <top/>
      <bottom/>
    </border>
    <border>
      <left style="thin">
        <color rgb="FFDDE2E7"/>
      </left>
      <top style="thin">
        <color rgb="FFDDE2E7"/>
      </top>
      <bottom style="thin">
        <color rgb="FFDDE2E7"/>
      </bottom>
    </border>
    <border>
      <top style="thin">
        <color rgb="FFDDE2E7"/>
      </top>
      <bottom style="thin">
        <color rgb="FFDDE2E7"/>
      </bottom>
    </border>
    <border>
      <right/>
      <top style="thin">
        <color rgb="FFDDE2E7"/>
      </top>
      <bottom style="thin">
        <color rgb="FFDDE2E7"/>
      </bottom>
    </border>
    <border>
      <left style="thin">
        <color rgb="FFC79A1E"/>
      </left>
      <right style="thin">
        <color rgb="FFC79A1E"/>
      </right>
      <top style="thin">
        <color rgb="FFC79A1E"/>
      </top>
      <bottom style="thin">
        <color rgb="FFC79A1E"/>
      </bottom>
    </border>
    <border>
      <left style="thin">
        <color rgb="FFDDE2E7"/>
      </left>
      <right style="thin">
        <color rgb="FFDDE2E7"/>
      </right>
      <top style="thin">
        <color rgb="FFDDE2E7"/>
      </top>
      <bottom style="thin">
        <color rgb="FFDDE2E7"/>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1" fillId="2" fontId="3" numFmtId="0" xfId="0" applyAlignment="1" applyBorder="1" applyFont="1">
      <alignment horizontal="center" readingOrder="0" shrinkToFit="0" vertical="center" wrapText="0"/>
    </xf>
    <xf borderId="0" fillId="0" fontId="4" numFmtId="0" xfId="0" applyAlignment="1" applyFont="1">
      <alignment horizontal="center" shrinkToFit="0" vertical="center" wrapText="0"/>
    </xf>
    <xf borderId="0" fillId="0" fontId="5" numFmtId="0" xfId="0" applyAlignment="1" applyFont="1">
      <alignment horizontal="center" shrinkToFit="0" vertical="center" wrapText="0"/>
    </xf>
    <xf borderId="1" fillId="2" fontId="6" numFmtId="0" xfId="0" applyAlignment="1" applyBorder="1" applyFont="1">
      <alignment horizontal="left" shrinkToFit="0" vertical="center" wrapText="0"/>
    </xf>
    <xf borderId="1" fillId="2" fontId="7" numFmtId="0" xfId="0" applyAlignment="1" applyBorder="1" applyFont="1">
      <alignment horizontal="center" readingOrder="0" shrinkToFit="0" vertical="center" wrapText="0"/>
    </xf>
    <xf borderId="0" fillId="0" fontId="8" numFmtId="0" xfId="0" applyAlignment="1" applyFont="1">
      <alignment horizontal="left" shrinkToFit="0" vertical="top" wrapText="1"/>
    </xf>
    <xf borderId="0" fillId="0" fontId="9" numFmtId="0" xfId="0" applyAlignment="1" applyFont="1">
      <alignment horizontal="center" shrinkToFit="0" vertical="center" wrapText="0"/>
    </xf>
    <xf borderId="0" fillId="0" fontId="10" numFmtId="0" xfId="0" applyAlignment="1" applyFont="1">
      <alignment horizontal="center" shrinkToFit="0" vertical="center" wrapText="0"/>
    </xf>
    <xf borderId="4" fillId="3" fontId="11" numFmtId="0" xfId="0" applyAlignment="1" applyBorder="1" applyFill="1" applyFont="1">
      <alignment horizontal="center" shrinkToFit="0" vertical="center" wrapText="0"/>
    </xf>
    <xf borderId="5" fillId="0" fontId="2" numFmtId="0" xfId="0" applyBorder="1" applyFont="1"/>
    <xf borderId="6" fillId="0" fontId="2" numFmtId="0" xfId="0" applyBorder="1" applyFont="1"/>
    <xf borderId="7" fillId="4" fontId="12" numFmtId="0" xfId="0" applyAlignment="1" applyBorder="1" applyFill="1" applyFont="1">
      <alignment shrinkToFit="0" vertical="bottom" wrapText="0"/>
    </xf>
    <xf borderId="0" fillId="0" fontId="8" numFmtId="0" xfId="0" applyAlignment="1" applyFont="1">
      <alignment horizontal="left" shrinkToFit="0" vertical="center" wrapText="0"/>
    </xf>
    <xf borderId="8" fillId="5" fontId="12" numFmtId="0" xfId="0" applyAlignment="1" applyBorder="1" applyFill="1" applyFont="1">
      <alignment shrinkToFit="0" vertical="bottom" wrapText="0"/>
    </xf>
    <xf borderId="8" fillId="6" fontId="12" numFmtId="0" xfId="0" applyAlignment="1" applyBorder="1" applyFill="1" applyFont="1">
      <alignment shrinkToFit="0" vertical="bottom" wrapText="0"/>
    </xf>
    <xf borderId="8" fillId="2" fontId="13" numFmtId="0" xfId="0" applyAlignment="1" applyBorder="1" applyFont="1">
      <alignment horizontal="center" shrinkToFit="0" vertical="center" wrapText="0"/>
    </xf>
    <xf borderId="0" fillId="0" fontId="14" numFmtId="0" xfId="0" applyAlignment="1" applyFont="1">
      <alignment horizontal="left" shrinkToFit="0" vertical="center" wrapText="0"/>
    </xf>
    <xf borderId="8" fillId="0" fontId="15" numFmtId="0" xfId="0" applyAlignment="1" applyBorder="1" applyFont="1">
      <alignment horizontal="left" shrinkToFit="0" vertical="center" wrapText="0"/>
    </xf>
    <xf borderId="8" fillId="3" fontId="16" numFmtId="164" xfId="0" applyAlignment="1" applyBorder="1" applyFont="1" applyNumberFormat="1">
      <alignment horizontal="center" shrinkToFit="0" vertical="center" wrapText="0"/>
    </xf>
    <xf borderId="7" fillId="4" fontId="15" numFmtId="164" xfId="0" applyAlignment="1" applyBorder="1" applyFont="1" applyNumberFormat="1">
      <alignment horizontal="center" shrinkToFit="0" vertical="center" wrapText="0"/>
    </xf>
    <xf borderId="0" fillId="0" fontId="17" numFmtId="0" xfId="0" applyAlignment="1" applyFont="1">
      <alignment horizontal="left" shrinkToFit="0" vertical="center" wrapText="0"/>
    </xf>
    <xf borderId="0" fillId="0" fontId="18" numFmtId="0" xfId="0" applyAlignment="1" applyFont="1">
      <alignment horizontal="left" shrinkToFit="0" vertical="top" wrapText="1"/>
    </xf>
    <xf borderId="8" fillId="0" fontId="15" numFmtId="164" xfId="0" applyAlignment="1" applyBorder="1" applyFont="1" applyNumberFormat="1">
      <alignment horizontal="center" shrinkToFit="0" vertical="center" wrapText="0"/>
    </xf>
    <xf borderId="7" fillId="4" fontId="15" numFmtId="3" xfId="0" applyAlignment="1" applyBorder="1" applyFont="1" applyNumberFormat="1">
      <alignment horizontal="center" shrinkToFit="0" vertical="center" wrapText="0"/>
    </xf>
    <xf borderId="0" fillId="0" fontId="19" numFmtId="0" xfId="0" applyAlignment="1" applyFont="1">
      <alignment horizontal="center" readingOrder="0" shrinkToFit="0" vertical="center" wrapText="0"/>
    </xf>
    <xf borderId="8" fillId="0" fontId="15" numFmtId="3" xfId="0" applyAlignment="1" applyBorder="1" applyFont="1" applyNumberFormat="1">
      <alignment horizontal="center" shrinkToFit="0" vertical="center" wrapText="0"/>
    </xf>
    <xf borderId="8" fillId="3" fontId="16" numFmtId="3" xfId="0" applyAlignment="1" applyBorder="1" applyFont="1" applyNumberFormat="1">
      <alignment horizontal="center" shrinkToFit="0" vertical="center" wrapText="0"/>
    </xf>
    <xf borderId="8" fillId="6" fontId="20" numFmtId="0" xfId="0" applyAlignment="1" applyBorder="1" applyFont="1">
      <alignment horizontal="left" shrinkToFit="0" vertical="center" wrapText="0"/>
    </xf>
    <xf borderId="8" fillId="6" fontId="16" numFmtId="164" xfId="0" applyAlignment="1" applyBorder="1" applyFont="1" applyNumberFormat="1">
      <alignment horizontal="center" shrinkToFit="0" vertical="center" wrapText="0"/>
    </xf>
    <xf borderId="8" fillId="6" fontId="16" numFmtId="3" xfId="0" applyAlignment="1" applyBorder="1" applyFont="1" applyNumberFormat="1">
      <alignment horizontal="center" shrinkToFit="0" vertical="center" wrapText="0"/>
    </xf>
    <xf borderId="8" fillId="0" fontId="16" numFmtId="0" xfId="0" applyAlignment="1" applyBorder="1" applyFont="1">
      <alignment horizontal="left" shrinkToFit="0" vertical="center" wrapText="0"/>
    </xf>
    <xf borderId="8" fillId="2" fontId="13" numFmtId="0" xfId="0" applyAlignment="1" applyBorder="1" applyFont="1">
      <alignment horizontal="center" shrinkToFit="0" vertical="center" wrapText="1"/>
    </xf>
    <xf borderId="8" fillId="3" fontId="20" numFmtId="0" xfId="0" applyAlignment="1" applyBorder="1" applyFont="1">
      <alignment horizontal="center" shrinkToFit="0" vertical="center" wrapText="0"/>
    </xf>
    <xf borderId="0" fillId="0" fontId="19" numFmtId="0" xfId="0" applyAlignment="1" applyFont="1">
      <alignment horizontal="left" shrinkToFit="0" vertical="top" wrapText="1"/>
    </xf>
    <xf borderId="0" fillId="0" fontId="19" numFmtId="0" xfId="0" applyAlignment="1" applyFont="1">
      <alignment horizontal="center" shrinkToFit="0" vertical="center" wrapText="0"/>
    </xf>
    <xf borderId="0" fillId="0" fontId="21" numFmtId="0" xfId="0" applyAlignment="1" applyFon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1F3A"/>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0"/>
    <col customWidth="1" min="2" max="4" width="34.0"/>
    <col customWidth="1" min="5" max="5" width="3.0"/>
    <col customWidth="1" min="6" max="26" width="8.71"/>
  </cols>
  <sheetData>
    <row r="1" ht="54.0" customHeight="1">
      <c r="A1" s="1" t="s">
        <v>0</v>
      </c>
      <c r="B1" s="2"/>
      <c r="C1" s="2"/>
      <c r="D1" s="2"/>
      <c r="E1" s="3"/>
    </row>
    <row r="2" ht="25.5" customHeight="1">
      <c r="A2" s="4" t="s">
        <v>1</v>
      </c>
      <c r="B2" s="2"/>
      <c r="C2" s="2"/>
      <c r="D2" s="2"/>
      <c r="E2" s="3"/>
    </row>
    <row r="3" ht="9.75" customHeight="1"/>
    <row r="4" ht="33.75" customHeight="1">
      <c r="A4" s="5" t="s">
        <v>2</v>
      </c>
    </row>
    <row r="5">
      <c r="A5" s="6" t="s">
        <v>3</v>
      </c>
    </row>
    <row r="7" ht="25.5" customHeight="1">
      <c r="A7" s="7" t="s">
        <v>4</v>
      </c>
      <c r="B7" s="2"/>
      <c r="C7" s="2"/>
      <c r="D7" s="2"/>
      <c r="E7" s="3"/>
    </row>
    <row r="8" ht="48.0" customHeight="1">
      <c r="A8" s="9" t="s">
        <v>5</v>
      </c>
    </row>
    <row r="10" ht="25.5" customHeight="1">
      <c r="A10" s="7" t="s">
        <v>6</v>
      </c>
      <c r="B10" s="2"/>
      <c r="C10" s="2"/>
      <c r="D10" s="2"/>
      <c r="E10" s="3"/>
    </row>
    <row r="11" ht="18.0" customHeight="1">
      <c r="A11" s="9" t="s">
        <v>8</v>
      </c>
    </row>
    <row r="12" ht="18.0" customHeight="1">
      <c r="A12" s="9" t="s">
        <v>9</v>
      </c>
    </row>
    <row r="13" ht="18.0" customHeight="1">
      <c r="A13" s="9" t="s">
        <v>10</v>
      </c>
    </row>
    <row r="14" ht="18.0" customHeight="1">
      <c r="A14" s="9" t="s">
        <v>12</v>
      </c>
    </row>
    <row r="15" ht="18.0" customHeight="1">
      <c r="A15" s="9" t="s">
        <v>13</v>
      </c>
    </row>
    <row r="16" ht="18.0" customHeight="1">
      <c r="A16" s="9" t="s">
        <v>15</v>
      </c>
    </row>
    <row r="17" ht="18.0" customHeight="1">
      <c r="A17" s="9" t="s">
        <v>16</v>
      </c>
    </row>
    <row r="18" ht="18.0" customHeight="1">
      <c r="A18" s="9" t="s">
        <v>17</v>
      </c>
    </row>
    <row r="19" ht="18.0" customHeight="1">
      <c r="A19" s="9" t="s">
        <v>18</v>
      </c>
    </row>
    <row r="21" ht="25.5" customHeight="1">
      <c r="A21" s="7" t="s">
        <v>19</v>
      </c>
      <c r="B21" s="2"/>
      <c r="C21" s="2"/>
      <c r="D21" s="2"/>
      <c r="E21" s="3"/>
    </row>
    <row r="22" ht="21.75" customHeight="1">
      <c r="B22" s="15"/>
      <c r="C22" s="16" t="s">
        <v>21</v>
      </c>
    </row>
    <row r="23" ht="21.75" customHeight="1">
      <c r="B23" s="17"/>
      <c r="C23" s="16" t="s">
        <v>23</v>
      </c>
    </row>
    <row r="24" ht="21.75" customHeight="1">
      <c r="B24" s="18"/>
      <c r="C24" s="16" t="s">
        <v>25</v>
      </c>
    </row>
    <row r="25" ht="15.75" customHeight="1"/>
    <row r="26" ht="25.5" customHeight="1">
      <c r="A26" s="7" t="s">
        <v>26</v>
      </c>
      <c r="B26" s="2"/>
      <c r="C26" s="2"/>
      <c r="D26" s="2"/>
      <c r="E26" s="3"/>
    </row>
    <row r="27" ht="18.0" customHeight="1">
      <c r="B27" s="20" t="s">
        <v>29</v>
      </c>
    </row>
    <row r="28" ht="43.5" customHeight="1">
      <c r="B28" s="9" t="s">
        <v>32</v>
      </c>
    </row>
    <row r="29" ht="18.0" customHeight="1">
      <c r="B29" s="20" t="s">
        <v>33</v>
      </c>
    </row>
    <row r="30" ht="43.5" customHeight="1">
      <c r="B30" s="9" t="s">
        <v>34</v>
      </c>
    </row>
    <row r="31" ht="18.0" customHeight="1">
      <c r="B31" s="20" t="s">
        <v>35</v>
      </c>
    </row>
    <row r="32" ht="43.5" customHeight="1">
      <c r="B32" s="9" t="s">
        <v>36</v>
      </c>
    </row>
    <row r="33" ht="18.0" customHeight="1">
      <c r="B33" s="20" t="s">
        <v>38</v>
      </c>
    </row>
    <row r="34" ht="43.5" customHeight="1">
      <c r="B34" s="9" t="s">
        <v>39</v>
      </c>
    </row>
    <row r="35" ht="15.75" customHeight="1"/>
    <row r="36" ht="25.5" customHeight="1">
      <c r="A36" s="7" t="s">
        <v>40</v>
      </c>
      <c r="B36" s="2"/>
      <c r="C36" s="2"/>
      <c r="D36" s="2"/>
      <c r="E36" s="3"/>
    </row>
    <row r="37" ht="48.0" customHeight="1">
      <c r="A37" s="9" t="s">
        <v>41</v>
      </c>
    </row>
    <row r="38" ht="18.0" customHeight="1">
      <c r="B38" s="24" t="s">
        <v>42</v>
      </c>
    </row>
    <row r="39" ht="31.5" customHeight="1">
      <c r="B39" s="9" t="s">
        <v>43</v>
      </c>
    </row>
    <row r="40" ht="18.0" customHeight="1">
      <c r="B40" s="24" t="s">
        <v>44</v>
      </c>
    </row>
    <row r="41" ht="31.5" customHeight="1">
      <c r="B41" s="9" t="s">
        <v>45</v>
      </c>
    </row>
    <row r="42" ht="18.0" customHeight="1">
      <c r="B42" s="24" t="s">
        <v>46</v>
      </c>
    </row>
    <row r="43" ht="31.5" customHeight="1">
      <c r="B43" s="9" t="s">
        <v>47</v>
      </c>
    </row>
    <row r="44" ht="18.0" customHeight="1">
      <c r="B44" s="24" t="s">
        <v>48</v>
      </c>
    </row>
    <row r="45" ht="31.5" customHeight="1">
      <c r="B45" s="9" t="s">
        <v>49</v>
      </c>
    </row>
    <row r="46" ht="18.0" customHeight="1">
      <c r="B46" s="24" t="s">
        <v>50</v>
      </c>
    </row>
    <row r="47" ht="31.5" customHeight="1">
      <c r="B47" s="9" t="s">
        <v>51</v>
      </c>
    </row>
    <row r="48" ht="31.5" customHeight="1">
      <c r="A48" s="25" t="s">
        <v>52</v>
      </c>
    </row>
    <row r="49" ht="15.75" customHeight="1"/>
    <row r="50" ht="25.5" customHeight="1">
      <c r="A50" s="7" t="s">
        <v>53</v>
      </c>
      <c r="B50" s="2"/>
      <c r="C50" s="2"/>
      <c r="D50" s="2"/>
      <c r="E50" s="3"/>
    </row>
    <row r="51" ht="18.0" customHeight="1">
      <c r="A51" s="9" t="s">
        <v>54</v>
      </c>
    </row>
    <row r="52" ht="18.0" customHeight="1">
      <c r="A52" s="9" t="s">
        <v>55</v>
      </c>
    </row>
    <row r="53" ht="18.0" customHeight="1">
      <c r="A53" s="9" t="s">
        <v>57</v>
      </c>
    </row>
    <row r="54" ht="18.0" customHeight="1">
      <c r="A54" s="9" t="s">
        <v>58</v>
      </c>
    </row>
    <row r="55" ht="18.0" customHeight="1">
      <c r="A55" s="9" t="s">
        <v>60</v>
      </c>
    </row>
    <row r="56" ht="15.75" customHeight="1"/>
    <row r="57" ht="25.5" customHeight="1">
      <c r="A57" s="7" t="s">
        <v>61</v>
      </c>
      <c r="B57" s="2"/>
      <c r="C57" s="2"/>
      <c r="D57" s="2"/>
      <c r="E57" s="3"/>
    </row>
    <row r="58" ht="69.75" customHeight="1">
      <c r="A58" s="9" t="s">
        <v>62</v>
      </c>
    </row>
    <row r="59" ht="15.75" customHeight="1"/>
    <row r="60" ht="19.5" customHeight="1">
      <c r="A60" s="28" t="s">
        <v>63</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E1"/>
    <mergeCell ref="A2:E2"/>
    <mergeCell ref="A4:E4"/>
    <mergeCell ref="A5:E5"/>
    <mergeCell ref="A7:E7"/>
    <mergeCell ref="A8:E8"/>
    <mergeCell ref="A10:E10"/>
    <mergeCell ref="A11:E11"/>
    <mergeCell ref="A12:E12"/>
    <mergeCell ref="A13:E13"/>
    <mergeCell ref="A14:E14"/>
    <mergeCell ref="A15:E15"/>
    <mergeCell ref="A16:E16"/>
    <mergeCell ref="A17:E17"/>
    <mergeCell ref="A18:E18"/>
    <mergeCell ref="A19:E19"/>
    <mergeCell ref="A21:E21"/>
    <mergeCell ref="A26:E26"/>
    <mergeCell ref="B28:E28"/>
    <mergeCell ref="B30:E30"/>
    <mergeCell ref="B32:E32"/>
    <mergeCell ref="B34:E34"/>
    <mergeCell ref="A36:E36"/>
    <mergeCell ref="A37:E37"/>
    <mergeCell ref="B39:E39"/>
    <mergeCell ref="B41:E41"/>
    <mergeCell ref="B43:E43"/>
    <mergeCell ref="B45:E45"/>
    <mergeCell ref="A55:E55"/>
    <mergeCell ref="A57:E57"/>
    <mergeCell ref="A58:E58"/>
    <mergeCell ref="A60:E60"/>
    <mergeCell ref="B47:E47"/>
    <mergeCell ref="A48:E48"/>
    <mergeCell ref="A50:E50"/>
    <mergeCell ref="A51:E51"/>
    <mergeCell ref="A52:E52"/>
    <mergeCell ref="A53:E53"/>
    <mergeCell ref="A54:E54"/>
  </mergeCells>
  <printOptions/>
  <pageMargins bottom="0.4" footer="0.0" header="0.0" left="0.4" right="0.4" top="0.4"/>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C230"/>
    <pageSetUpPr fitToPage="1"/>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2.43"/>
    <col customWidth="1" min="2" max="2" width="27.0"/>
    <col customWidth="1" min="3" max="3" width="15.0"/>
    <col customWidth="1" min="4" max="4" width="13.0"/>
    <col customWidth="1" min="5" max="5" width="16.0"/>
    <col customWidth="1" min="6" max="6" width="3.0"/>
    <col customWidth="1" min="7" max="7" width="27.0"/>
    <col customWidth="1" min="8" max="9" width="15.0"/>
    <col customWidth="1" min="10" max="10" width="3.0"/>
    <col customWidth="1" min="11" max="26" width="8.71"/>
  </cols>
  <sheetData>
    <row r="1" ht="54.0" customHeight="1">
      <c r="A1" s="1" t="s">
        <v>0</v>
      </c>
      <c r="B1" s="2"/>
      <c r="C1" s="2"/>
      <c r="D1" s="2"/>
      <c r="E1" s="2"/>
      <c r="F1" s="2"/>
      <c r="G1" s="2"/>
      <c r="H1" s="2"/>
      <c r="I1" s="2"/>
      <c r="J1" s="3"/>
    </row>
    <row r="2" ht="24.0" customHeight="1">
      <c r="A2" s="8" t="s">
        <v>1</v>
      </c>
      <c r="B2" s="2"/>
      <c r="C2" s="2"/>
      <c r="D2" s="2"/>
      <c r="E2" s="2"/>
      <c r="F2" s="2"/>
      <c r="G2" s="2"/>
      <c r="H2" s="2"/>
      <c r="I2" s="2"/>
      <c r="J2" s="3"/>
    </row>
    <row r="3" ht="9.75" customHeight="1"/>
    <row r="4" ht="30.0" customHeight="1">
      <c r="A4" s="10" t="s">
        <v>7</v>
      </c>
    </row>
    <row r="5">
      <c r="A5" s="11" t="s">
        <v>11</v>
      </c>
    </row>
    <row r="6" ht="21.75" customHeight="1">
      <c r="A6" s="12" t="s">
        <v>14</v>
      </c>
      <c r="B6" s="13"/>
      <c r="C6" s="13"/>
      <c r="D6" s="13"/>
      <c r="E6" s="13"/>
      <c r="F6" s="13"/>
      <c r="G6" s="13"/>
      <c r="H6" s="13"/>
      <c r="I6" s="13"/>
      <c r="J6" s="14"/>
    </row>
    <row r="8" ht="25.5" customHeight="1">
      <c r="B8" s="7" t="s">
        <v>20</v>
      </c>
      <c r="C8" s="2"/>
      <c r="D8" s="2"/>
      <c r="E8" s="3"/>
      <c r="G8" s="7" t="s">
        <v>22</v>
      </c>
      <c r="H8" s="2"/>
      <c r="I8" s="3"/>
    </row>
    <row r="9" ht="18.75" customHeight="1">
      <c r="B9" s="19" t="s">
        <v>24</v>
      </c>
      <c r="C9" s="19" t="s">
        <v>27</v>
      </c>
      <c r="D9" s="19" t="s">
        <v>28</v>
      </c>
      <c r="E9" s="19" t="s">
        <v>30</v>
      </c>
      <c r="G9" s="21" t="s">
        <v>31</v>
      </c>
      <c r="I9" s="22">
        <v>29.92</v>
      </c>
    </row>
    <row r="10" ht="18.75" customHeight="1">
      <c r="B10" s="21" t="s">
        <v>37</v>
      </c>
      <c r="C10" s="23">
        <v>1645.1</v>
      </c>
      <c r="D10" s="26">
        <f>IFERROR(E10/C10,"")</f>
        <v>88.04662331</v>
      </c>
      <c r="E10" s="27">
        <v>144845.5</v>
      </c>
      <c r="G10" s="21" t="s">
        <v>56</v>
      </c>
      <c r="I10" s="23">
        <v>29.85</v>
      </c>
    </row>
    <row r="11" ht="18.75" customHeight="1">
      <c r="B11" s="21" t="s">
        <v>59</v>
      </c>
      <c r="C11" s="23">
        <v>160.0</v>
      </c>
      <c r="D11" s="23">
        <v>80.5</v>
      </c>
      <c r="E11" s="29">
        <f t="shared" ref="E11:E13" si="1">C11*D11</f>
        <v>12880</v>
      </c>
      <c r="G11" s="21" t="s">
        <v>64</v>
      </c>
      <c r="I11" s="23">
        <v>17.0</v>
      </c>
    </row>
    <row r="12" ht="18.75" customHeight="1">
      <c r="B12" s="21" t="s">
        <v>65</v>
      </c>
      <c r="C12" s="23">
        <v>320.0</v>
      </c>
      <c r="D12" s="23">
        <v>118.1</v>
      </c>
      <c r="E12" s="29">
        <f t="shared" si="1"/>
        <v>37792</v>
      </c>
      <c r="G12" s="21" t="s">
        <v>66</v>
      </c>
      <c r="I12" s="30">
        <f>1000*(I9-I10)+I11</f>
        <v>87</v>
      </c>
    </row>
    <row r="13" ht="18.75" customHeight="1">
      <c r="B13" s="21" t="s">
        <v>67</v>
      </c>
      <c r="C13" s="23">
        <v>20.0</v>
      </c>
      <c r="D13" s="23">
        <v>142.8</v>
      </c>
      <c r="E13" s="29">
        <f t="shared" si="1"/>
        <v>2856</v>
      </c>
      <c r="G13" s="21" t="s">
        <v>68</v>
      </c>
      <c r="I13" s="22">
        <v>15.0</v>
      </c>
    </row>
    <row r="14" ht="18.75" customHeight="1">
      <c r="B14" s="31" t="s">
        <v>69</v>
      </c>
      <c r="C14" s="32">
        <f>SUM(C10:C13)</f>
        <v>2145.1</v>
      </c>
      <c r="D14" s="32">
        <f>IFERROR(E14/C14,"")</f>
        <v>92.47750688</v>
      </c>
      <c r="E14" s="33">
        <f>SUM(E10:E13)</f>
        <v>198373.5</v>
      </c>
      <c r="G14" s="21" t="s">
        <v>70</v>
      </c>
      <c r="I14" s="23">
        <v>24.0</v>
      </c>
    </row>
    <row r="15" ht="18.75" customHeight="1">
      <c r="B15" s="21" t="s">
        <v>71</v>
      </c>
      <c r="C15" s="23">
        <v>288.0</v>
      </c>
      <c r="D15" s="23">
        <v>95.0</v>
      </c>
      <c r="E15" s="29">
        <f>C15*D15</f>
        <v>27360</v>
      </c>
      <c r="G15" s="21" t="s">
        <v>72</v>
      </c>
      <c r="I15" s="30">
        <f>120*(I14-I13)+I12</f>
        <v>1167</v>
      </c>
    </row>
    <row r="16" ht="18.75" customHeight="1">
      <c r="B16" s="31" t="s">
        <v>73</v>
      </c>
      <c r="C16" s="32">
        <f>SUM(C14,C15)</f>
        <v>2433.1</v>
      </c>
      <c r="D16" s="32">
        <f>IFERROR(E16/C16,"")</f>
        <v>92.77608812</v>
      </c>
      <c r="E16" s="33">
        <f>SUM(E14,E15)</f>
        <v>225733.5</v>
      </c>
    </row>
    <row r="17" ht="25.5" customHeight="1">
      <c r="B17" s="21" t="s">
        <v>74</v>
      </c>
      <c r="C17" s="23">
        <v>8.0</v>
      </c>
      <c r="D17" s="23">
        <v>95.0</v>
      </c>
      <c r="E17" s="29">
        <f>C17*D17</f>
        <v>760</v>
      </c>
      <c r="G17" s="7" t="s">
        <v>75</v>
      </c>
      <c r="H17" s="2"/>
      <c r="I17" s="3"/>
    </row>
    <row r="18" ht="18.75" customHeight="1">
      <c r="B18" s="31" t="s">
        <v>76</v>
      </c>
      <c r="C18" s="32">
        <f>C16-C17</f>
        <v>2425.1</v>
      </c>
      <c r="D18" s="32">
        <f>IFERROR(E18/C18,"")</f>
        <v>92.7687518</v>
      </c>
      <c r="E18" s="33">
        <f>E16-E17</f>
        <v>224973.5</v>
      </c>
      <c r="G18" s="21" t="s">
        <v>77</v>
      </c>
      <c r="I18" s="23">
        <v>113.0</v>
      </c>
    </row>
    <row r="19" ht="18.75" customHeight="1">
      <c r="B19" s="21" t="s">
        <v>78</v>
      </c>
      <c r="C19" s="23">
        <v>171.6</v>
      </c>
      <c r="D19" s="23">
        <v>95.0</v>
      </c>
      <c r="E19" s="29">
        <f>C19*D19</f>
        <v>16302</v>
      </c>
      <c r="G19" s="21" t="s">
        <v>79</v>
      </c>
      <c r="I19" s="30">
        <f>C18</f>
        <v>2425.1</v>
      </c>
    </row>
    <row r="20" ht="18.75" customHeight="1">
      <c r="B20" s="31" t="s">
        <v>80</v>
      </c>
      <c r="C20" s="32">
        <f>C18-C19</f>
        <v>2253.5</v>
      </c>
      <c r="D20" s="32">
        <f>IFERROR(E20/C20,"")</f>
        <v>92.59884624</v>
      </c>
      <c r="E20" s="33">
        <f>E18-E19</f>
        <v>208671.5</v>
      </c>
      <c r="G20" s="21" t="s">
        <v>81</v>
      </c>
      <c r="I20" s="30">
        <f>C20</f>
        <v>2253.5</v>
      </c>
    </row>
    <row r="21" ht="18.75" customHeight="1">
      <c r="G21" s="21" t="s">
        <v>82</v>
      </c>
      <c r="I21" s="30">
        <f>C22</f>
        <v>2550</v>
      </c>
    </row>
    <row r="22" ht="18.75" customHeight="1">
      <c r="B22" s="34" t="s">
        <v>82</v>
      </c>
      <c r="C22" s="27">
        <v>2550.0</v>
      </c>
      <c r="G22" s="21" t="s">
        <v>83</v>
      </c>
      <c r="I22" s="22">
        <f>I18*SQRT(I19/I21)</f>
        <v>110.1978646</v>
      </c>
    </row>
    <row r="23" ht="18.75" customHeight="1">
      <c r="G23" s="21" t="s">
        <v>84</v>
      </c>
      <c r="I23" s="22">
        <f>I18*SQRT(I20/I21)</f>
        <v>106.2275425</v>
      </c>
    </row>
    <row r="24" ht="25.5" customHeight="1">
      <c r="B24" s="7" t="s">
        <v>85</v>
      </c>
      <c r="C24" s="2"/>
      <c r="D24" s="2"/>
      <c r="E24" s="3"/>
    </row>
    <row r="25" ht="31.5" customHeight="1">
      <c r="B25" s="35" t="s">
        <v>86</v>
      </c>
      <c r="C25" s="35" t="s">
        <v>87</v>
      </c>
      <c r="D25" s="35" t="s">
        <v>88</v>
      </c>
      <c r="E25" s="35" t="s">
        <v>89</v>
      </c>
      <c r="G25" s="19" t="s">
        <v>90</v>
      </c>
    </row>
    <row r="26" ht="18.75" customHeight="1">
      <c r="B26" s="34" t="s">
        <v>91</v>
      </c>
      <c r="C26" s="23">
        <v>87.0</v>
      </c>
      <c r="D26" s="23">
        <v>93.0</v>
      </c>
      <c r="E26" s="26">
        <f>D18</f>
        <v>92.7687518</v>
      </c>
      <c r="G26" s="36" t="str">
        <f t="shared" ref="G26:G27" si="2">IF(AND(E26&gt;=C26,E26&lt;=D26),"PASS","CHECK")</f>
        <v>PASS</v>
      </c>
    </row>
    <row r="27" ht="18.75" customHeight="1">
      <c r="B27" s="34" t="s">
        <v>92</v>
      </c>
      <c r="C27" s="23">
        <v>87.0</v>
      </c>
      <c r="D27" s="23">
        <v>93.0</v>
      </c>
      <c r="E27" s="26">
        <f>D20</f>
        <v>92.59884624</v>
      </c>
      <c r="G27" s="36" t="str">
        <f t="shared" si="2"/>
        <v>PASS</v>
      </c>
    </row>
    <row r="28" ht="15.75" customHeight="1"/>
    <row r="29" ht="25.5" customHeight="1">
      <c r="B29" s="37" t="s">
        <v>93</v>
      </c>
    </row>
    <row r="30" ht="15.75" customHeight="1"/>
    <row r="31" ht="15.75" customHeight="1"/>
    <row r="32" ht="19.5" customHeight="1">
      <c r="B32" s="38" t="s">
        <v>94</v>
      </c>
    </row>
    <row r="33" ht="19.5" customHeight="1">
      <c r="B33" s="39" t="s">
        <v>63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G17:I17"/>
    <mergeCell ref="B24:E24"/>
    <mergeCell ref="B29:G29"/>
    <mergeCell ref="B32:I32"/>
    <mergeCell ref="B33:I33"/>
    <mergeCell ref="A1:J1"/>
    <mergeCell ref="A2:J2"/>
    <mergeCell ref="A4:J4"/>
    <mergeCell ref="A5:J5"/>
    <mergeCell ref="A6:J6"/>
    <mergeCell ref="B8:E8"/>
    <mergeCell ref="G8:I8"/>
  </mergeCells>
  <printOptions/>
  <pageMargins bottom="0.4" footer="0.0" header="0.0" left="0.3" right="0.3" top="0.4"/>
  <pageSetup fitToHeight="0" orientation="landscape"/>
  <drawing r:id="rId2"/>
  <legacyDrawing r:id="rId3"/>
</worksheet>
</file>